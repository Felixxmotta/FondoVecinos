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Hoja1" sheetId="2" r:id="rId5"/>
  </sheets>
  <definedNames/>
  <calcPr/>
  <extLst>
    <ext uri="GoogleSheetsCustomDataVersion1">
      <go:sheetsCustomData xmlns:go="http://customooxmlschemas.google.com/" r:id="rId6" roundtripDataSignature="AMtx7mgIBwcA5YKqt+D7jll9U9a57rFRgw=="/>
    </ext>
  </extLst>
</workbook>
</file>

<file path=xl/sharedStrings.xml><?xml version="1.0" encoding="utf-8"?>
<sst xmlns="http://schemas.openxmlformats.org/spreadsheetml/2006/main" count="70" uniqueCount="42">
  <si>
    <t>IMPORTACIONES DAVYMAT</t>
  </si>
  <si>
    <t>NIT.</t>
  </si>
  <si>
    <t>19420517-7</t>
  </si>
  <si>
    <t>COTIZACION</t>
  </si>
  <si>
    <t>NOMBRE CLIENTE</t>
  </si>
  <si>
    <t>DAVID OSPINA</t>
  </si>
  <si>
    <t>EMPRESA</t>
  </si>
  <si>
    <t>NIT</t>
  </si>
  <si>
    <t>POR CONCEPTO DE</t>
  </si>
  <si>
    <t>DIRECCION</t>
  </si>
  <si>
    <t>CIUDAD</t>
  </si>
  <si>
    <t>TELEFONO</t>
  </si>
  <si>
    <t xml:space="preserve">COTIZACION </t>
  </si>
  <si>
    <t>BOGOTA</t>
  </si>
  <si>
    <t>FECHA DOCUMENTO</t>
  </si>
  <si>
    <t>FECHA VENCIMIENTO</t>
  </si>
  <si>
    <t>VENDEDOR</t>
  </si>
  <si>
    <t>FORMA DE PAGO</t>
  </si>
  <si>
    <t>Felix Ospitia</t>
  </si>
  <si>
    <t>CONTADO</t>
  </si>
  <si>
    <t>REFERENCIA</t>
  </si>
  <si>
    <t>DESCRIPCION</t>
  </si>
  <si>
    <t>CANTIDAD</t>
  </si>
  <si>
    <t>U.M.</t>
  </si>
  <si>
    <t>VLR. UNIT.</t>
  </si>
  <si>
    <t>TOTAL</t>
  </si>
  <si>
    <t>playstation 5</t>
  </si>
  <si>
    <t>play 5 americano digital + control</t>
  </si>
  <si>
    <t>play 5 americano de disco + control</t>
  </si>
  <si>
    <t>MAS IMPUESTOS</t>
  </si>
  <si>
    <t>GARANTIA DE 12 MESES Y SERVICIO TECNICO INDEFINIDO</t>
  </si>
  <si>
    <t>SUBTOTAL</t>
  </si>
  <si>
    <t>IVA</t>
  </si>
  <si>
    <t>COTIZACION No.</t>
  </si>
  <si>
    <t>APPLUS</t>
  </si>
  <si>
    <t>COTIZACIÓN</t>
  </si>
  <si>
    <t>CALLE 17 Nº 69-46</t>
  </si>
  <si>
    <t>MILTON TRUJILLO</t>
  </si>
  <si>
    <t>30 DIAS</t>
  </si>
  <si>
    <t>15V-100A/10K110KDVIL</t>
  </si>
  <si>
    <t>CORTA CIRCUITO</t>
  </si>
  <si>
    <t>$148,000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</si>
</sst>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\$\ #,##0"/>
    <numFmt numFmtId="166" formatCode="_-&quot;$&quot;\ * #,##0_-;\-&quot;$&quot;\ * #,##0_-;_-&quot;$&quot;\ * &quot;-&quot;_-;_-@"/>
  </numFmts>
  <fonts count="18">
    <font>
      <sz val="10.0"/>
      <color rgb="FF000000"/>
      <name val="Times New Roman"/>
      <scheme val="minor"/>
    </font>
    <font>
      <sz val="20.0"/>
      <color theme="1"/>
      <name val="Arial Black"/>
    </font>
    <font/>
    <font>
      <sz val="10.0"/>
      <color theme="1"/>
      <name val="Arial Black"/>
    </font>
    <font>
      <b/>
      <sz val="14.0"/>
      <color theme="1"/>
      <name val="Arial Black"/>
    </font>
    <font>
      <sz val="10.0"/>
      <color rgb="FF000000"/>
      <name val="Times New Roman"/>
    </font>
    <font>
      <sz val="10.0"/>
      <color rgb="FF000000"/>
      <name val="Arial Black"/>
    </font>
    <font>
      <sz val="12.0"/>
      <color rgb="FF000000"/>
      <name val="Times New Roman"/>
    </font>
    <font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4.0"/>
      <color rgb="FF000000"/>
      <name val="Arial"/>
    </font>
    <font>
      <sz val="14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sz val="14.0"/>
      <color rgb="FF000000"/>
      <name val="Arial Black"/>
    </font>
    <font>
      <b/>
      <sz val="10.0"/>
      <color rgb="FF000000"/>
      <name val="Arial Black"/>
    </font>
    <font>
      <b/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horizontal="left" shrinkToFit="0" vertical="bottom" wrapText="1"/>
    </xf>
    <xf borderId="9" fillId="0" fontId="5" numFmtId="0" xfId="0" applyAlignment="1" applyBorder="1" applyFont="1">
      <alignment horizontal="left" shrinkToFit="0" vertical="bottom" wrapText="1"/>
    </xf>
    <xf borderId="1" fillId="0" fontId="6" numFmtId="1" xfId="0" applyAlignment="1" applyBorder="1" applyFont="1" applyNumberFormat="1">
      <alignment horizontal="center" readingOrder="0" shrinkToFit="1" vertical="top" wrapText="0"/>
    </xf>
    <xf borderId="10" fillId="0" fontId="7" numFmtId="0" xfId="0" applyAlignment="1" applyBorder="1" applyFont="1">
      <alignment horizontal="left" shrinkToFit="0" vertical="bottom" wrapText="1"/>
    </xf>
    <xf borderId="11" fillId="0" fontId="5" numFmtId="0" xfId="0" applyAlignment="1" applyBorder="1" applyFont="1">
      <alignment horizontal="left" shrinkToFit="0" vertical="bottom" wrapText="1"/>
    </xf>
    <xf borderId="12" fillId="0" fontId="5" numFmtId="0" xfId="0" applyAlignment="1" applyBorder="1" applyFont="1">
      <alignment horizontal="left" shrinkToFit="0" vertical="bottom" wrapText="1"/>
    </xf>
    <xf borderId="1" fillId="0" fontId="8" numFmtId="0" xfId="0" applyAlignment="1" applyBorder="1" applyFont="1">
      <alignment horizontal="left" readingOrder="0" shrinkToFit="0" vertical="top" wrapText="1"/>
    </xf>
    <xf borderId="13" fillId="0" fontId="9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1" fillId="0" fontId="1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1" fillId="0" fontId="12" numFmtId="164" xfId="0" applyAlignment="1" applyBorder="1" applyFont="1" applyNumberForma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14" fillId="0" fontId="11" numFmtId="1" xfId="0" applyAlignment="1" applyBorder="1" applyFont="1" applyNumberFormat="1">
      <alignment horizontal="center" readingOrder="0" shrinkToFit="1" vertical="top" wrapText="0"/>
    </xf>
    <xf borderId="4" fillId="0" fontId="12" numFmtId="0" xfId="0" applyAlignment="1" applyBorder="1" applyFont="1">
      <alignment horizontal="left" readingOrder="0" shrinkToFit="0" vertical="top" wrapText="1"/>
    </xf>
    <xf borderId="14" fillId="0" fontId="12" numFmtId="0" xfId="0" applyAlignment="1" applyBorder="1" applyFont="1">
      <alignment horizontal="right" shrinkToFit="0" vertical="top" wrapText="1"/>
    </xf>
    <xf borderId="14" fillId="0" fontId="11" numFmtId="165" xfId="0" applyAlignment="1" applyBorder="1" applyFont="1" applyNumberFormat="1">
      <alignment horizontal="center" shrinkToFit="1" vertical="top" wrapText="0"/>
    </xf>
    <xf borderId="15" fillId="0" fontId="11" numFmtId="165" xfId="0" applyAlignment="1" applyBorder="1" applyFont="1" applyNumberFormat="1">
      <alignment horizontal="center" readingOrder="0" shrinkToFit="1" vertical="center" wrapText="0"/>
    </xf>
    <xf borderId="15" fillId="0" fontId="11" numFmtId="1" xfId="0" applyAlignment="1" applyBorder="1" applyFont="1" applyNumberFormat="1">
      <alignment horizontal="center" readingOrder="0" shrinkToFit="1" vertical="top" wrapText="0"/>
    </xf>
    <xf borderId="15" fillId="0" fontId="12" numFmtId="0" xfId="0" applyAlignment="1" applyBorder="1" applyFont="1">
      <alignment horizontal="right" shrinkToFit="0" vertical="top" wrapText="1"/>
    </xf>
    <xf borderId="15" fillId="0" fontId="11" numFmtId="165" xfId="0" applyAlignment="1" applyBorder="1" applyFont="1" applyNumberFormat="1">
      <alignment horizontal="center" shrinkToFit="1" vertical="top" wrapText="0"/>
    </xf>
    <xf borderId="15" fillId="0" fontId="11" numFmtId="1" xfId="0" applyAlignment="1" applyBorder="1" applyFont="1" applyNumberFormat="1">
      <alignment horizontal="center" shrinkToFit="1" vertical="top" wrapText="0"/>
    </xf>
    <xf borderId="8" fillId="0" fontId="12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vertical="top"/>
    </xf>
    <xf borderId="15" fillId="0" fontId="11" numFmtId="165" xfId="0" applyAlignment="1" applyBorder="1" applyFont="1" applyNumberFormat="1">
      <alignment horizontal="center" shrinkToFit="1" vertical="center" wrapText="0"/>
    </xf>
    <xf borderId="15" fillId="0" fontId="11" numFmtId="0" xfId="0" applyAlignment="1" applyBorder="1" applyFont="1">
      <alignment horizontal="left" shrinkToFit="0" vertical="bottom" wrapText="1"/>
    </xf>
    <xf borderId="15" fillId="0" fontId="11" numFmtId="0" xfId="0" applyAlignment="1" applyBorder="1" applyFont="1">
      <alignment horizontal="left" vertical="top"/>
    </xf>
    <xf borderId="13" fillId="0" fontId="11" numFmtId="0" xfId="0" applyAlignment="1" applyBorder="1" applyFont="1">
      <alignment horizontal="left" vertical="top"/>
    </xf>
    <xf borderId="10" fillId="0" fontId="12" numFmtId="0" xfId="0" applyAlignment="1" applyBorder="1" applyFont="1">
      <alignment horizontal="left" shrinkToFit="0" vertical="top" wrapText="1"/>
    </xf>
    <xf borderId="13" fillId="0" fontId="11" numFmtId="165" xfId="0" applyAlignment="1" applyBorder="1" applyFont="1" applyNumberFormat="1">
      <alignment horizontal="center" shrinkToFit="1" vertical="center" wrapText="0"/>
    </xf>
    <xf borderId="0" fillId="0" fontId="14" numFmtId="0" xfId="0" applyAlignment="1" applyFont="1">
      <alignment horizontal="left" shrinkToFit="0" vertical="top" wrapText="1"/>
    </xf>
    <xf borderId="7" fillId="0" fontId="15" numFmtId="0" xfId="0" applyAlignment="1" applyBorder="1" applyFont="1">
      <alignment horizontal="center" vertical="center"/>
    </xf>
    <xf borderId="7" fillId="0" fontId="15" numFmtId="166" xfId="0" applyAlignment="1" applyBorder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6" fillId="0" fontId="2" numFmtId="0" xfId="0" applyAlignment="1" applyBorder="1" applyFont="1">
      <alignment horizontal="left" vertical="top"/>
    </xf>
    <xf borderId="17" fillId="2" fontId="3" numFmtId="0" xfId="0" applyAlignment="1" applyBorder="1" applyFont="1">
      <alignment horizontal="left" shrinkToFit="0" vertical="top" wrapText="1"/>
    </xf>
    <xf borderId="18" fillId="2" fontId="3" numFmtId="0" xfId="0" applyAlignment="1" applyBorder="1" applyFont="1">
      <alignment horizontal="left" shrinkToFit="0" vertical="top" wrapText="1"/>
    </xf>
    <xf borderId="19" fillId="2" fontId="3" numFmtId="0" xfId="0" applyAlignment="1" applyBorder="1" applyFont="1">
      <alignment horizontal="left" shrinkToFit="0" vertical="top" wrapText="1"/>
    </xf>
    <xf borderId="7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0" fillId="2" fontId="5" numFmtId="0" xfId="0" applyAlignment="1" applyBorder="1" applyFont="1">
      <alignment horizontal="left" shrinkToFit="0" vertical="bottom" wrapText="1"/>
    </xf>
    <xf borderId="21" fillId="2" fontId="5" numFmtId="0" xfId="0" applyAlignment="1" applyBorder="1" applyFont="1">
      <alignment horizontal="left" shrinkToFit="0" vertical="bottom" wrapText="1"/>
    </xf>
    <xf borderId="22" fillId="2" fontId="5" numFmtId="0" xfId="0" applyAlignment="1" applyBorder="1" applyFont="1">
      <alignment horizontal="left" shrinkToFit="0" vertical="bottom" wrapText="1"/>
    </xf>
    <xf borderId="23" fillId="2" fontId="16" numFmtId="1" xfId="0" applyAlignment="1" applyBorder="1" applyFont="1" applyNumberFormat="1">
      <alignment horizontal="center" shrinkToFit="1" vertical="top" wrapText="0"/>
    </xf>
    <xf borderId="24" fillId="2" fontId="7" numFmtId="0" xfId="0" applyAlignment="1" applyBorder="1" applyFont="1">
      <alignment horizontal="left" shrinkToFit="0" vertical="bottom" wrapText="1"/>
    </xf>
    <xf borderId="25" fillId="2" fontId="5" numFmtId="0" xfId="0" applyAlignment="1" applyBorder="1" applyFont="1">
      <alignment horizontal="left" shrinkToFit="0" vertical="bottom" wrapText="1"/>
    </xf>
    <xf borderId="26" fillId="2" fontId="5" numFmtId="0" xfId="0" applyAlignment="1" applyBorder="1" applyFont="1">
      <alignment horizontal="left" shrinkToFit="0" vertical="bottom" wrapText="1"/>
    </xf>
    <xf borderId="1" fillId="2" fontId="8" numFmtId="0" xfId="0" applyAlignment="1" applyBorder="1" applyFont="1">
      <alignment horizontal="center" shrinkToFit="0" vertical="top" wrapText="1"/>
    </xf>
    <xf borderId="27" fillId="2" fontId="9" numFmtId="0" xfId="0" applyAlignment="1" applyBorder="1" applyFont="1">
      <alignment horizontal="center" shrinkToFit="0" vertical="center" wrapText="1"/>
    </xf>
    <xf borderId="28" fillId="2" fontId="10" numFmtId="0" xfId="0" applyAlignment="1" applyBorder="1" applyFont="1">
      <alignment horizontal="center" shrinkToFit="0" vertical="top" wrapText="1"/>
    </xf>
    <xf borderId="29" fillId="0" fontId="2" numFmtId="0" xfId="0" applyAlignment="1" applyBorder="1" applyFont="1">
      <alignment horizontal="left" vertical="top"/>
    </xf>
    <xf borderId="1" fillId="2" fontId="11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1" fillId="2" fontId="12" numFmtId="164" xfId="0" applyAlignment="1" applyBorder="1" applyFont="1" applyNumberFormat="1">
      <alignment horizontal="center" shrinkToFit="0" vertical="center" wrapText="1"/>
    </xf>
    <xf borderId="1" fillId="2" fontId="11" numFmtId="164" xfId="0" applyAlignment="1" applyBorder="1" applyFont="1" applyNumberFormat="1">
      <alignment horizontal="center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30" fillId="2" fontId="11" numFmtId="1" xfId="0" applyAlignment="1" applyBorder="1" applyFont="1" applyNumberFormat="1">
      <alignment horizontal="center" shrinkToFit="1" vertical="top" wrapText="0"/>
    </xf>
    <xf borderId="31" fillId="2" fontId="12" numFmtId="0" xfId="0" applyAlignment="1" applyBorder="1" applyFont="1">
      <alignment horizontal="left" shrinkToFit="0" vertical="top" wrapText="1"/>
    </xf>
    <xf borderId="32" fillId="0" fontId="2" numFmtId="0" xfId="0" applyAlignment="1" applyBorder="1" applyFont="1">
      <alignment horizontal="left" vertical="top"/>
    </xf>
    <xf borderId="33" fillId="0" fontId="2" numFmtId="0" xfId="0" applyAlignment="1" applyBorder="1" applyFont="1">
      <alignment horizontal="left" vertical="top"/>
    </xf>
    <xf borderId="30" fillId="2" fontId="12" numFmtId="0" xfId="0" applyAlignment="1" applyBorder="1" applyFont="1">
      <alignment horizontal="right" shrinkToFit="0" vertical="top" wrapText="1"/>
    </xf>
    <xf borderId="30" fillId="2" fontId="11" numFmtId="165" xfId="0" applyAlignment="1" applyBorder="1" applyFont="1" applyNumberFormat="1">
      <alignment horizontal="center" shrinkToFit="1" vertical="top" wrapText="0"/>
    </xf>
    <xf borderId="34" fillId="2" fontId="11" numFmtId="1" xfId="0" applyAlignment="1" applyBorder="1" applyFont="1" applyNumberFormat="1">
      <alignment horizontal="center" shrinkToFit="1" vertical="top" wrapText="0"/>
    </xf>
    <xf borderId="35" fillId="2" fontId="12" numFmtId="0" xfId="0" applyAlignment="1" applyBorder="1" applyFont="1">
      <alignment horizontal="left" shrinkToFit="0" vertical="top" wrapText="1"/>
    </xf>
    <xf borderId="36" fillId="0" fontId="2" numFmtId="0" xfId="0" applyAlignment="1" applyBorder="1" applyFont="1">
      <alignment horizontal="left" vertical="top"/>
    </xf>
    <xf borderId="37" fillId="0" fontId="2" numFmtId="0" xfId="0" applyAlignment="1" applyBorder="1" applyFont="1">
      <alignment horizontal="left" vertical="top"/>
    </xf>
    <xf borderId="34" fillId="2" fontId="12" numFmtId="0" xfId="0" applyAlignment="1" applyBorder="1" applyFont="1">
      <alignment horizontal="right" shrinkToFit="0" vertical="top" wrapText="1"/>
    </xf>
    <xf borderId="34" fillId="2" fontId="11" numFmtId="165" xfId="0" applyAlignment="1" applyBorder="1" applyFont="1" applyNumberFormat="1">
      <alignment horizontal="center" shrinkToFit="1" vertical="top" wrapText="0"/>
    </xf>
    <xf borderId="34" fillId="2" fontId="11" numFmtId="165" xfId="0" applyAlignment="1" applyBorder="1" applyFont="1" applyNumberFormat="1">
      <alignment horizontal="center" shrinkToFit="1" vertical="center" wrapText="0"/>
    </xf>
    <xf borderId="34" fillId="2" fontId="12" numFmtId="0" xfId="0" applyAlignment="1" applyBorder="1" applyFont="1">
      <alignment horizontal="left" shrinkToFit="0" vertical="top" wrapText="1"/>
    </xf>
    <xf borderId="34" fillId="2" fontId="11" numFmtId="0" xfId="0" applyAlignment="1" applyBorder="1" applyFont="1">
      <alignment horizontal="left" vertical="top"/>
    </xf>
    <xf borderId="27" fillId="2" fontId="11" numFmtId="0" xfId="0" applyAlignment="1" applyBorder="1" applyFont="1">
      <alignment horizontal="left" vertical="top"/>
    </xf>
    <xf borderId="28" fillId="2" fontId="12" numFmtId="0" xfId="0" applyAlignment="1" applyBorder="1" applyFont="1">
      <alignment horizontal="left" shrinkToFit="0" vertical="top" wrapText="1"/>
    </xf>
    <xf borderId="38" fillId="0" fontId="2" numFmtId="0" xfId="0" applyAlignment="1" applyBorder="1" applyFont="1">
      <alignment horizontal="left" vertical="top"/>
    </xf>
    <xf borderId="27" fillId="2" fontId="11" numFmtId="165" xfId="0" applyAlignment="1" applyBorder="1" applyFont="1" applyNumberFormat="1">
      <alignment horizontal="center" shrinkToFit="1" vertical="center" wrapText="0"/>
    </xf>
    <xf borderId="0" fillId="0" fontId="11" numFmtId="0" xfId="0" applyAlignment="1" applyFont="1">
      <alignment horizontal="left" vertical="top"/>
    </xf>
    <xf borderId="0" fillId="0" fontId="12" numFmtId="0" xfId="0" applyAlignment="1" applyFont="1">
      <alignment horizontal="left" shrinkToFit="0" vertical="top" wrapText="1"/>
    </xf>
    <xf borderId="7" fillId="0" fontId="17" numFmtId="0" xfId="0" applyAlignment="1" applyBorder="1" applyFont="1">
      <alignment horizontal="center" vertical="center"/>
    </xf>
    <xf borderId="7" fillId="0" fontId="17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0</xdr:row>
      <xdr:rowOff>66675</xdr:rowOff>
    </xdr:from>
    <xdr:ext cx="2847975" cy="1390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12</xdr:row>
      <xdr:rowOff>0</xdr:rowOff>
    </xdr:from>
    <xdr:ext cx="9067800" cy="2428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0</xdr:row>
      <xdr:rowOff>66675</xdr:rowOff>
    </xdr:from>
    <xdr:ext cx="18383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3.71"/>
    <col customWidth="1" min="2" max="2" width="2.43"/>
    <col customWidth="1" min="3" max="3" width="2.86"/>
    <col customWidth="1" min="4" max="4" width="7.86"/>
    <col customWidth="1" min="5" max="5" width="6.86"/>
    <col customWidth="1" min="6" max="6" width="4.0"/>
    <col customWidth="1" min="7" max="7" width="2.14"/>
    <col customWidth="1" min="8" max="8" width="13.29"/>
    <col customWidth="1" min="9" max="9" width="30.43"/>
    <col customWidth="1" min="10" max="10" width="20.14"/>
    <col customWidth="1" min="11" max="11" width="16.43"/>
    <col customWidth="1" min="12" max="12" width="22.14"/>
    <col customWidth="1" min="13" max="13" width="32.14"/>
    <col customWidth="1" min="14" max="21" width="9.29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6"/>
    </row>
    <row r="2" ht="31.5" customHeight="1">
      <c r="A2" s="7" t="s">
        <v>1</v>
      </c>
      <c r="B2" s="8" t="s">
        <v>2</v>
      </c>
      <c r="C2" s="2"/>
      <c r="D2" s="2"/>
      <c r="E2" s="2"/>
      <c r="F2" s="2"/>
      <c r="G2" s="2"/>
      <c r="H2" s="3"/>
      <c r="I2" s="9"/>
      <c r="J2" s="10"/>
      <c r="K2" s="10"/>
      <c r="L2" s="10"/>
      <c r="M2" s="11"/>
    </row>
    <row r="3" ht="36.0" customHeight="1">
      <c r="A3" s="8" t="s">
        <v>3</v>
      </c>
      <c r="B3" s="2"/>
      <c r="C3" s="2"/>
      <c r="D3" s="2"/>
      <c r="E3" s="2"/>
      <c r="F3" s="2"/>
      <c r="G3" s="3"/>
      <c r="H3" s="12">
        <v>891.0</v>
      </c>
      <c r="I3" s="13"/>
      <c r="J3" s="14"/>
      <c r="K3" s="14"/>
      <c r="L3" s="14"/>
      <c r="M3" s="15"/>
    </row>
    <row r="4" ht="42.0" customHeight="1">
      <c r="A4" s="7" t="s">
        <v>4</v>
      </c>
      <c r="B4" s="16" t="s">
        <v>5</v>
      </c>
      <c r="C4" s="2"/>
      <c r="D4" s="2"/>
      <c r="E4" s="2"/>
      <c r="F4" s="2"/>
      <c r="G4" s="2"/>
      <c r="H4" s="2"/>
      <c r="I4" s="2"/>
      <c r="J4" s="3"/>
      <c r="K4" s="17" t="s">
        <v>6</v>
      </c>
      <c r="L4" s="18"/>
      <c r="M4" s="19"/>
    </row>
    <row r="5" ht="23.25" customHeight="1">
      <c r="A5" s="7" t="s">
        <v>7</v>
      </c>
      <c r="B5" s="20"/>
      <c r="C5" s="2"/>
      <c r="D5" s="2"/>
      <c r="E5" s="2"/>
      <c r="F5" s="2"/>
      <c r="G5" s="2"/>
      <c r="H5" s="2"/>
      <c r="I5" s="2"/>
      <c r="J5" s="3"/>
      <c r="K5" s="21" t="s">
        <v>8</v>
      </c>
      <c r="L5" s="2"/>
      <c r="M5" s="3"/>
    </row>
    <row r="6" ht="27.0" customHeight="1">
      <c r="A6" s="8" t="s">
        <v>9</v>
      </c>
      <c r="B6" s="2"/>
      <c r="C6" s="2"/>
      <c r="D6" s="3"/>
      <c r="E6" s="8" t="s">
        <v>10</v>
      </c>
      <c r="F6" s="2"/>
      <c r="G6" s="2"/>
      <c r="H6" s="3"/>
      <c r="I6" s="8" t="s">
        <v>11</v>
      </c>
      <c r="J6" s="3"/>
      <c r="K6" s="22" t="s">
        <v>12</v>
      </c>
      <c r="L6" s="23"/>
      <c r="M6" s="24"/>
    </row>
    <row r="7" ht="24.75" customHeight="1">
      <c r="A7" s="25"/>
      <c r="B7" s="2"/>
      <c r="C7" s="2"/>
      <c r="D7" s="3"/>
      <c r="E7" s="26" t="s">
        <v>13</v>
      </c>
      <c r="F7" s="2"/>
      <c r="G7" s="2"/>
      <c r="H7" s="3"/>
      <c r="I7" s="27">
        <v>3.016356205E9</v>
      </c>
      <c r="J7" s="3"/>
      <c r="K7" s="28"/>
      <c r="L7" s="29"/>
      <c r="M7" s="19"/>
    </row>
    <row r="8" ht="42.75" customHeight="1">
      <c r="A8" s="8" t="s">
        <v>14</v>
      </c>
      <c r="B8" s="2"/>
      <c r="C8" s="2"/>
      <c r="D8" s="2"/>
      <c r="E8" s="2"/>
      <c r="F8" s="2"/>
      <c r="G8" s="3"/>
      <c r="H8" s="8" t="s">
        <v>15</v>
      </c>
      <c r="I8" s="2"/>
      <c r="J8" s="3"/>
      <c r="K8" s="8" t="s">
        <v>16</v>
      </c>
      <c r="L8" s="3"/>
      <c r="M8" s="7" t="s">
        <v>17</v>
      </c>
    </row>
    <row r="9" ht="24.75" customHeight="1">
      <c r="A9" s="30">
        <f>+TODAY()</f>
        <v>44665</v>
      </c>
      <c r="B9" s="2"/>
      <c r="C9" s="2"/>
      <c r="D9" s="2"/>
      <c r="E9" s="2"/>
      <c r="F9" s="2"/>
      <c r="G9" s="3"/>
      <c r="H9" s="31">
        <f>+A9+30</f>
        <v>44695</v>
      </c>
      <c r="I9" s="2"/>
      <c r="J9" s="3"/>
      <c r="K9" s="32" t="s">
        <v>18</v>
      </c>
      <c r="L9" s="3"/>
      <c r="M9" s="33" t="s">
        <v>19</v>
      </c>
    </row>
    <row r="10" ht="12.75" customHeight="1">
      <c r="A10" s="7" t="s">
        <v>20</v>
      </c>
      <c r="B10" s="8" t="s">
        <v>21</v>
      </c>
      <c r="C10" s="2"/>
      <c r="D10" s="2"/>
      <c r="E10" s="2"/>
      <c r="F10" s="2"/>
      <c r="G10" s="2"/>
      <c r="H10" s="2"/>
      <c r="I10" s="3"/>
      <c r="J10" s="7" t="s">
        <v>22</v>
      </c>
      <c r="K10" s="7" t="s">
        <v>23</v>
      </c>
      <c r="L10" s="7" t="s">
        <v>24</v>
      </c>
      <c r="M10" s="7" t="s">
        <v>25</v>
      </c>
    </row>
    <row r="11" ht="17.25" customHeight="1">
      <c r="A11" s="34" t="s">
        <v>26</v>
      </c>
      <c r="B11" s="35" t="s">
        <v>27</v>
      </c>
      <c r="C11" s="23"/>
      <c r="D11" s="23"/>
      <c r="E11" s="23"/>
      <c r="F11" s="23"/>
      <c r="G11" s="23"/>
      <c r="H11" s="23"/>
      <c r="I11" s="24"/>
      <c r="J11" s="34">
        <v>1.0</v>
      </c>
      <c r="K11" s="36"/>
      <c r="L11" s="37"/>
      <c r="M11" s="38">
        <v>3410000.0</v>
      </c>
    </row>
    <row r="12" ht="17.25" customHeight="1">
      <c r="A12" s="34" t="s">
        <v>26</v>
      </c>
      <c r="B12" s="35" t="s">
        <v>28</v>
      </c>
      <c r="C12" s="23"/>
      <c r="D12" s="23"/>
      <c r="E12" s="23"/>
      <c r="F12" s="23"/>
      <c r="G12" s="23"/>
      <c r="H12" s="23"/>
      <c r="I12" s="24"/>
      <c r="J12" s="39">
        <v>1.0</v>
      </c>
      <c r="K12" s="40"/>
      <c r="L12" s="41"/>
      <c r="M12" s="38">
        <v>3595000.0</v>
      </c>
    </row>
    <row r="13" ht="17.25" customHeight="1">
      <c r="A13" s="42"/>
      <c r="B13" s="43"/>
      <c r="I13" s="44"/>
      <c r="J13" s="42"/>
      <c r="K13" s="40"/>
      <c r="L13" s="41"/>
      <c r="M13" s="45"/>
    </row>
    <row r="14" ht="17.25" customHeight="1">
      <c r="A14" s="42"/>
      <c r="B14" s="43"/>
      <c r="I14" s="44"/>
      <c r="J14" s="42"/>
      <c r="K14" s="40"/>
      <c r="L14" s="41"/>
      <c r="M14" s="45"/>
    </row>
    <row r="15" ht="17.25" customHeight="1">
      <c r="A15" s="42"/>
      <c r="B15" s="43"/>
      <c r="I15" s="44"/>
      <c r="J15" s="42"/>
      <c r="K15" s="40"/>
      <c r="L15" s="41"/>
      <c r="M15" s="45"/>
    </row>
    <row r="16" ht="17.25" customHeight="1">
      <c r="A16" s="42"/>
      <c r="B16" s="43"/>
      <c r="I16" s="44"/>
      <c r="J16" s="42"/>
      <c r="K16" s="40"/>
      <c r="L16" s="41"/>
      <c r="M16" s="45"/>
    </row>
    <row r="17" ht="17.25" customHeight="1">
      <c r="A17" s="42"/>
      <c r="J17" s="42"/>
      <c r="K17" s="40"/>
      <c r="L17" s="41"/>
      <c r="M17" s="45"/>
    </row>
    <row r="18" ht="17.25" customHeight="1">
      <c r="A18" s="46"/>
      <c r="B18" s="43"/>
      <c r="I18" s="44"/>
      <c r="J18" s="46"/>
      <c r="K18" s="46"/>
      <c r="L18" s="46"/>
      <c r="M18" s="45">
        <f t="shared" ref="M18:M23" si="1">+J18*L18</f>
        <v>0</v>
      </c>
    </row>
    <row r="19" ht="17.25" customHeight="1">
      <c r="A19" s="46"/>
      <c r="B19" s="43"/>
      <c r="I19" s="44"/>
      <c r="J19" s="46"/>
      <c r="K19" s="46"/>
      <c r="L19" s="46"/>
      <c r="M19" s="45">
        <f t="shared" si="1"/>
        <v>0</v>
      </c>
    </row>
    <row r="20" ht="17.25" customHeight="1">
      <c r="A20" s="46"/>
      <c r="B20" s="43"/>
      <c r="I20" s="44"/>
      <c r="J20" s="46"/>
      <c r="K20" s="46"/>
      <c r="L20" s="46"/>
      <c r="M20" s="45">
        <f t="shared" si="1"/>
        <v>0</v>
      </c>
    </row>
    <row r="21" ht="17.25" customHeight="1">
      <c r="A21" s="47"/>
      <c r="J21" s="47"/>
      <c r="K21" s="47"/>
      <c r="L21" s="47"/>
      <c r="M21" s="45">
        <f t="shared" si="1"/>
        <v>0</v>
      </c>
    </row>
    <row r="22" ht="17.25" customHeight="1">
      <c r="A22" s="47"/>
      <c r="B22" s="43"/>
      <c r="I22" s="44"/>
      <c r="J22" s="47"/>
      <c r="K22" s="47"/>
      <c r="L22" s="47"/>
      <c r="M22" s="45">
        <f t="shared" si="1"/>
        <v>0</v>
      </c>
    </row>
    <row r="23" ht="17.25" customHeight="1">
      <c r="A23" s="47"/>
      <c r="B23" s="43"/>
      <c r="I23" s="44"/>
      <c r="J23" s="47"/>
      <c r="K23" s="47"/>
      <c r="L23" s="47"/>
      <c r="M23" s="45">
        <f t="shared" si="1"/>
        <v>0</v>
      </c>
    </row>
    <row r="24" ht="17.25" customHeight="1">
      <c r="A24" s="47"/>
      <c r="B24" s="43"/>
      <c r="I24" s="44"/>
      <c r="J24" s="47"/>
      <c r="K24" s="47"/>
      <c r="L24" s="47"/>
      <c r="M24" s="45">
        <f t="shared" ref="M24:M37" si="2">+L24*J24</f>
        <v>0</v>
      </c>
    </row>
    <row r="25" ht="17.25" customHeight="1">
      <c r="A25" s="47"/>
      <c r="B25" s="43"/>
      <c r="I25" s="44"/>
      <c r="J25" s="47"/>
      <c r="K25" s="47"/>
      <c r="L25" s="47"/>
      <c r="M25" s="45">
        <f t="shared" si="2"/>
        <v>0</v>
      </c>
    </row>
    <row r="26" ht="17.25" customHeight="1">
      <c r="A26" s="47"/>
      <c r="B26" s="43"/>
      <c r="I26" s="44"/>
      <c r="J26" s="47"/>
      <c r="K26" s="47"/>
      <c r="L26" s="47"/>
      <c r="M26" s="45">
        <f t="shared" si="2"/>
        <v>0</v>
      </c>
    </row>
    <row r="27" ht="17.25" customHeight="1">
      <c r="A27" s="47"/>
      <c r="B27" s="43"/>
      <c r="I27" s="44"/>
      <c r="J27" s="47"/>
      <c r="K27" s="47"/>
      <c r="L27" s="47"/>
      <c r="M27" s="45">
        <f t="shared" si="2"/>
        <v>0</v>
      </c>
    </row>
    <row r="28" ht="17.25" customHeight="1">
      <c r="A28" s="47"/>
      <c r="B28" s="43"/>
      <c r="I28" s="44"/>
      <c r="J28" s="47"/>
      <c r="K28" s="47"/>
      <c r="L28" s="47"/>
      <c r="M28" s="45">
        <f t="shared" si="2"/>
        <v>0</v>
      </c>
    </row>
    <row r="29" ht="17.25" customHeight="1">
      <c r="A29" s="47"/>
      <c r="B29" s="43"/>
      <c r="I29" s="44"/>
      <c r="J29" s="47"/>
      <c r="K29" s="47"/>
      <c r="L29" s="47"/>
      <c r="M29" s="45">
        <f t="shared" si="2"/>
        <v>0</v>
      </c>
    </row>
    <row r="30" ht="17.25" customHeight="1">
      <c r="A30" s="47"/>
      <c r="B30" s="43"/>
      <c r="I30" s="44"/>
      <c r="J30" s="47"/>
      <c r="K30" s="47"/>
      <c r="L30" s="47"/>
      <c r="M30" s="45">
        <f t="shared" si="2"/>
        <v>0</v>
      </c>
    </row>
    <row r="31" ht="17.25" customHeight="1">
      <c r="A31" s="47"/>
      <c r="B31" s="43"/>
      <c r="I31" s="44"/>
      <c r="J31" s="47"/>
      <c r="K31" s="47"/>
      <c r="L31" s="47"/>
      <c r="M31" s="45">
        <f t="shared" si="2"/>
        <v>0</v>
      </c>
    </row>
    <row r="32" ht="17.25" customHeight="1">
      <c r="A32" s="47"/>
      <c r="B32" s="43"/>
      <c r="I32" s="44"/>
      <c r="J32" s="47"/>
      <c r="K32" s="47"/>
      <c r="L32" s="47"/>
      <c r="M32" s="45">
        <f t="shared" si="2"/>
        <v>0</v>
      </c>
    </row>
    <row r="33" ht="17.25" customHeight="1">
      <c r="A33" s="47"/>
      <c r="B33" s="43" t="s">
        <v>29</v>
      </c>
      <c r="I33" s="44"/>
      <c r="J33" s="47"/>
      <c r="K33" s="47"/>
      <c r="L33" s="47"/>
      <c r="M33" s="45">
        <f t="shared" si="2"/>
        <v>0</v>
      </c>
    </row>
    <row r="34" ht="17.25" customHeight="1">
      <c r="A34" s="47"/>
      <c r="B34" s="43"/>
      <c r="I34" s="44"/>
      <c r="J34" s="47"/>
      <c r="K34" s="47"/>
      <c r="L34" s="47"/>
      <c r="M34" s="45">
        <f t="shared" si="2"/>
        <v>0</v>
      </c>
    </row>
    <row r="35" ht="17.25" customHeight="1">
      <c r="A35" s="47"/>
      <c r="B35" s="43"/>
      <c r="I35" s="44"/>
      <c r="J35" s="47"/>
      <c r="K35" s="47"/>
      <c r="L35" s="47"/>
      <c r="M35" s="45">
        <f t="shared" si="2"/>
        <v>0</v>
      </c>
    </row>
    <row r="36" ht="17.25" customHeight="1">
      <c r="A36" s="47"/>
      <c r="B36" s="43"/>
      <c r="I36" s="44"/>
      <c r="J36" s="47"/>
      <c r="K36" s="47"/>
      <c r="L36" s="47"/>
      <c r="M36" s="45">
        <f t="shared" si="2"/>
        <v>0</v>
      </c>
    </row>
    <row r="37" ht="17.25" customHeight="1">
      <c r="A37" s="47"/>
      <c r="B37" s="43"/>
      <c r="I37" s="44"/>
      <c r="J37" s="47"/>
      <c r="K37" s="47"/>
      <c r="L37" s="47"/>
      <c r="M37" s="45">
        <f t="shared" si="2"/>
        <v>0</v>
      </c>
    </row>
    <row r="38" ht="17.25" customHeight="1">
      <c r="A38" s="47"/>
      <c r="B38" s="43"/>
      <c r="I38" s="44"/>
      <c r="J38" s="47"/>
      <c r="K38" s="47"/>
      <c r="L38" s="47"/>
      <c r="M38" s="45"/>
    </row>
    <row r="39" ht="17.25" customHeight="1">
      <c r="A39" s="47"/>
      <c r="B39" s="43"/>
      <c r="I39" s="44"/>
      <c r="J39" s="47"/>
      <c r="K39" s="47"/>
      <c r="L39" s="47"/>
      <c r="M39" s="45"/>
    </row>
    <row r="40" ht="17.25" customHeight="1">
      <c r="A40" s="47"/>
      <c r="B40" s="43"/>
      <c r="I40" s="44"/>
      <c r="J40" s="47"/>
      <c r="K40" s="47"/>
      <c r="L40" s="47"/>
      <c r="M40" s="45"/>
    </row>
    <row r="41" ht="17.25" customHeight="1">
      <c r="A41" s="47"/>
      <c r="B41" s="43"/>
      <c r="I41" s="44"/>
      <c r="J41" s="47"/>
      <c r="K41" s="47"/>
      <c r="L41" s="47"/>
      <c r="M41" s="45"/>
    </row>
    <row r="42" ht="17.25" customHeight="1">
      <c r="A42" s="47"/>
      <c r="B42" s="43"/>
      <c r="I42" s="44"/>
      <c r="J42" s="47"/>
      <c r="K42" s="47"/>
      <c r="L42" s="47"/>
      <c r="M42" s="45"/>
    </row>
    <row r="43" ht="17.25" customHeight="1">
      <c r="A43" s="47"/>
      <c r="B43" s="43" t="s">
        <v>30</v>
      </c>
      <c r="I43" s="44"/>
      <c r="J43" s="47"/>
      <c r="K43" s="47"/>
      <c r="L43" s="47"/>
      <c r="M43" s="45"/>
    </row>
    <row r="44" ht="17.25" customHeight="1">
      <c r="A44" s="47"/>
      <c r="B44" s="43"/>
      <c r="I44" s="44"/>
      <c r="J44" s="47"/>
      <c r="K44" s="47"/>
      <c r="L44" s="47"/>
      <c r="M44" s="45">
        <f t="shared" ref="M44:M50" si="3">+L44*J44</f>
        <v>0</v>
      </c>
    </row>
    <row r="45" ht="17.25" customHeight="1">
      <c r="A45" s="47"/>
      <c r="B45" s="43"/>
      <c r="I45" s="44"/>
      <c r="J45" s="47"/>
      <c r="K45" s="47"/>
      <c r="L45" s="47"/>
      <c r="M45" s="45">
        <f t="shared" si="3"/>
        <v>0</v>
      </c>
    </row>
    <row r="46" ht="18.0" customHeight="1">
      <c r="A46" s="47"/>
      <c r="B46" s="43"/>
      <c r="I46" s="44"/>
      <c r="J46" s="47"/>
      <c r="K46" s="47"/>
      <c r="L46" s="47"/>
      <c r="M46" s="45">
        <f t="shared" si="3"/>
        <v>0</v>
      </c>
    </row>
    <row r="47" ht="18.0" customHeight="1">
      <c r="A47" s="47"/>
      <c r="B47" s="43"/>
      <c r="I47" s="44"/>
      <c r="J47" s="47"/>
      <c r="K47" s="47"/>
      <c r="L47" s="47"/>
      <c r="M47" s="45">
        <f t="shared" si="3"/>
        <v>0</v>
      </c>
    </row>
    <row r="48" ht="18.0" customHeight="1">
      <c r="A48" s="47"/>
      <c r="B48" s="43"/>
      <c r="I48" s="44"/>
      <c r="J48" s="47"/>
      <c r="K48" s="47"/>
      <c r="L48" s="47"/>
      <c r="M48" s="45">
        <f t="shared" si="3"/>
        <v>0</v>
      </c>
    </row>
    <row r="49" ht="18.0" customHeight="1">
      <c r="A49" s="47"/>
      <c r="B49" s="43"/>
      <c r="I49" s="44"/>
      <c r="J49" s="47"/>
      <c r="K49" s="47"/>
      <c r="L49" s="47"/>
      <c r="M49" s="45">
        <f t="shared" si="3"/>
        <v>0</v>
      </c>
    </row>
    <row r="50" ht="18.0" customHeight="1">
      <c r="A50" s="48"/>
      <c r="B50" s="49"/>
      <c r="C50" s="29"/>
      <c r="D50" s="29"/>
      <c r="E50" s="29"/>
      <c r="F50" s="29"/>
      <c r="G50" s="29"/>
      <c r="H50" s="29"/>
      <c r="I50" s="19"/>
      <c r="J50" s="48"/>
      <c r="K50" s="48"/>
      <c r="L50" s="48"/>
      <c r="M50" s="50">
        <f t="shared" si="3"/>
        <v>0</v>
      </c>
    </row>
    <row r="51" ht="18.0" customHeight="1">
      <c r="B51" s="51"/>
      <c r="L51" s="52" t="s">
        <v>31</v>
      </c>
      <c r="M51" s="53"/>
    </row>
    <row r="52" ht="18.0" customHeight="1">
      <c r="B52" s="51"/>
      <c r="L52" s="52" t="s">
        <v>32</v>
      </c>
      <c r="M52" s="53"/>
    </row>
    <row r="53" ht="18.0" customHeight="1">
      <c r="B53" s="51"/>
      <c r="L53" s="52" t="s">
        <v>25</v>
      </c>
      <c r="M53" s="53"/>
    </row>
    <row r="54" ht="18.0" customHeight="1">
      <c r="B54" s="51"/>
    </row>
    <row r="55" ht="18.0" customHeight="1">
      <c r="B55" s="51"/>
    </row>
    <row r="56" ht="18.0" customHeight="1">
      <c r="B56" s="51"/>
    </row>
    <row r="57" ht="12.75" customHeight="1">
      <c r="B57" s="51"/>
    </row>
    <row r="58" ht="12.75" customHeight="1">
      <c r="B58" s="51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7">
    <mergeCell ref="B41:I41"/>
    <mergeCell ref="B42:I42"/>
    <mergeCell ref="B43:I43"/>
    <mergeCell ref="B44:I44"/>
    <mergeCell ref="B45:I45"/>
    <mergeCell ref="B46:I46"/>
    <mergeCell ref="B47:I47"/>
    <mergeCell ref="B55:I55"/>
    <mergeCell ref="B56:I56"/>
    <mergeCell ref="B57:I57"/>
    <mergeCell ref="B58:I58"/>
    <mergeCell ref="B48:I48"/>
    <mergeCell ref="B49:I49"/>
    <mergeCell ref="B50:I50"/>
    <mergeCell ref="B51:I51"/>
    <mergeCell ref="B52:I52"/>
    <mergeCell ref="B53:I53"/>
    <mergeCell ref="B54:I54"/>
    <mergeCell ref="A1:H1"/>
    <mergeCell ref="B2:H2"/>
    <mergeCell ref="A3:G3"/>
    <mergeCell ref="B4:J4"/>
    <mergeCell ref="L4:M4"/>
    <mergeCell ref="B5:J5"/>
    <mergeCell ref="K5:M5"/>
    <mergeCell ref="A6:D6"/>
    <mergeCell ref="E6:H6"/>
    <mergeCell ref="I6:J6"/>
    <mergeCell ref="K6:M7"/>
    <mergeCell ref="A7:D7"/>
    <mergeCell ref="E7:H7"/>
    <mergeCell ref="I7:J7"/>
    <mergeCell ref="A8:G8"/>
    <mergeCell ref="H8:J8"/>
    <mergeCell ref="K8:L8"/>
    <mergeCell ref="A9:G9"/>
    <mergeCell ref="H9:J9"/>
    <mergeCell ref="K9:L9"/>
    <mergeCell ref="B10:I10"/>
    <mergeCell ref="B11:I11"/>
    <mergeCell ref="B13:I13"/>
    <mergeCell ref="B14:I14"/>
    <mergeCell ref="B15:I15"/>
    <mergeCell ref="B16:I16"/>
    <mergeCell ref="B18:I18"/>
    <mergeCell ref="B12:I12"/>
    <mergeCell ref="B19:I19"/>
    <mergeCell ref="B20:I20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</mergeCells>
  <conditionalFormatting sqref="M11:M50">
    <cfRule type="cellIs" dxfId="0" priority="1" operator="equal">
      <formula>0</formula>
    </cfRule>
  </conditionalFormatting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8" width="10.71"/>
    <col customWidth="1" min="9" max="9" width="12.0"/>
    <col customWidth="1" min="10" max="11" width="10.71"/>
    <col customWidth="1" min="12" max="12" width="19.29"/>
    <col customWidth="1" min="13" max="13" width="17.29"/>
    <col customWidth="1" min="14" max="26" width="10.71"/>
  </cols>
  <sheetData>
    <row r="1" ht="12.75" customHeight="1">
      <c r="A1" s="54" t="s">
        <v>0</v>
      </c>
      <c r="B1" s="2"/>
      <c r="C1" s="2"/>
      <c r="D1" s="2"/>
      <c r="E1" s="2"/>
      <c r="F1" s="2"/>
      <c r="G1" s="2"/>
      <c r="H1" s="55"/>
      <c r="I1" s="56"/>
      <c r="J1" s="57"/>
      <c r="K1" s="57"/>
      <c r="L1" s="57"/>
      <c r="M1" s="58"/>
    </row>
    <row r="2" ht="12.75" customHeight="1">
      <c r="A2" s="59" t="s">
        <v>1</v>
      </c>
      <c r="B2" s="60" t="s">
        <v>2</v>
      </c>
      <c r="C2" s="2"/>
      <c r="D2" s="2"/>
      <c r="E2" s="2"/>
      <c r="F2" s="2"/>
      <c r="G2" s="2"/>
      <c r="H2" s="55"/>
      <c r="I2" s="61"/>
      <c r="J2" s="62"/>
      <c r="K2" s="62"/>
      <c r="L2" s="62"/>
      <c r="M2" s="63"/>
    </row>
    <row r="3" ht="12.75" customHeight="1">
      <c r="A3" s="60" t="s">
        <v>33</v>
      </c>
      <c r="B3" s="2"/>
      <c r="C3" s="2"/>
      <c r="D3" s="2"/>
      <c r="E3" s="2"/>
      <c r="F3" s="2"/>
      <c r="G3" s="3"/>
      <c r="H3" s="64">
        <v>2.0</v>
      </c>
      <c r="I3" s="65"/>
      <c r="J3" s="66"/>
      <c r="K3" s="66"/>
      <c r="L3" s="66"/>
      <c r="M3" s="67"/>
    </row>
    <row r="4" ht="12.75" customHeight="1">
      <c r="A4" s="59" t="s">
        <v>4</v>
      </c>
      <c r="B4" s="68" t="s">
        <v>34</v>
      </c>
      <c r="C4" s="2"/>
      <c r="D4" s="2"/>
      <c r="E4" s="2"/>
      <c r="F4" s="2"/>
      <c r="G4" s="2"/>
      <c r="H4" s="2"/>
      <c r="I4" s="2"/>
      <c r="J4" s="3"/>
      <c r="K4" s="69" t="s">
        <v>6</v>
      </c>
      <c r="L4" s="70" t="s">
        <v>34</v>
      </c>
      <c r="M4" s="71"/>
    </row>
    <row r="5" ht="45.75" customHeight="1">
      <c r="A5" s="59" t="s">
        <v>7</v>
      </c>
      <c r="B5" s="72"/>
      <c r="C5" s="2"/>
      <c r="D5" s="2"/>
      <c r="E5" s="2"/>
      <c r="F5" s="2"/>
      <c r="G5" s="2"/>
      <c r="H5" s="2"/>
      <c r="I5" s="2"/>
      <c r="J5" s="3"/>
      <c r="K5" s="73" t="s">
        <v>8</v>
      </c>
      <c r="L5" s="2"/>
      <c r="M5" s="3"/>
    </row>
    <row r="6" ht="12.75" customHeight="1">
      <c r="A6" s="73" t="s">
        <v>9</v>
      </c>
      <c r="B6" s="2"/>
      <c r="C6" s="2"/>
      <c r="D6" s="3"/>
      <c r="E6" s="73" t="s">
        <v>10</v>
      </c>
      <c r="F6" s="2"/>
      <c r="G6" s="2"/>
      <c r="H6" s="3"/>
      <c r="I6" s="73" t="s">
        <v>11</v>
      </c>
      <c r="J6" s="3"/>
      <c r="K6" s="74" t="s">
        <v>35</v>
      </c>
      <c r="L6" s="23"/>
      <c r="M6" s="24"/>
    </row>
    <row r="7" ht="12.75" customHeight="1">
      <c r="A7" s="75" t="s">
        <v>36</v>
      </c>
      <c r="B7" s="2"/>
      <c r="C7" s="2"/>
      <c r="D7" s="3"/>
      <c r="E7" s="75" t="s">
        <v>13</v>
      </c>
      <c r="F7" s="2"/>
      <c r="G7" s="2"/>
      <c r="H7" s="3"/>
      <c r="I7" s="75">
        <v>7441133.0</v>
      </c>
      <c r="J7" s="3"/>
      <c r="K7" s="28"/>
      <c r="L7" s="29"/>
      <c r="M7" s="19"/>
    </row>
    <row r="8" ht="12.75" customHeight="1">
      <c r="A8" s="73" t="s">
        <v>14</v>
      </c>
      <c r="B8" s="2"/>
      <c r="C8" s="2"/>
      <c r="D8" s="2"/>
      <c r="E8" s="2"/>
      <c r="F8" s="2"/>
      <c r="G8" s="3"/>
      <c r="H8" s="73" t="s">
        <v>15</v>
      </c>
      <c r="I8" s="2"/>
      <c r="J8" s="3"/>
      <c r="K8" s="73" t="s">
        <v>16</v>
      </c>
      <c r="L8" s="3"/>
      <c r="M8" s="76" t="s">
        <v>17</v>
      </c>
    </row>
    <row r="9" ht="12.75" customHeight="1">
      <c r="A9" s="77">
        <f>+TODAY()</f>
        <v>44665</v>
      </c>
      <c r="B9" s="2"/>
      <c r="C9" s="2"/>
      <c r="D9" s="2"/>
      <c r="E9" s="2"/>
      <c r="F9" s="2"/>
      <c r="G9" s="3"/>
      <c r="H9" s="78">
        <f>+A9+30</f>
        <v>44695</v>
      </c>
      <c r="I9" s="2"/>
      <c r="J9" s="3"/>
      <c r="K9" s="73" t="s">
        <v>37</v>
      </c>
      <c r="L9" s="3"/>
      <c r="M9" s="79" t="s">
        <v>38</v>
      </c>
    </row>
    <row r="10" ht="12.75" customHeight="1">
      <c r="A10" s="76" t="s">
        <v>20</v>
      </c>
      <c r="B10" s="73" t="s">
        <v>21</v>
      </c>
      <c r="C10" s="2"/>
      <c r="D10" s="2"/>
      <c r="E10" s="2"/>
      <c r="F10" s="2"/>
      <c r="G10" s="2"/>
      <c r="H10" s="2"/>
      <c r="I10" s="3"/>
      <c r="J10" s="76" t="s">
        <v>22</v>
      </c>
      <c r="K10" s="76" t="s">
        <v>23</v>
      </c>
      <c r="L10" s="76" t="s">
        <v>24</v>
      </c>
      <c r="M10" s="76" t="s">
        <v>25</v>
      </c>
    </row>
    <row r="11" ht="12.75" customHeight="1">
      <c r="A11" s="80" t="s">
        <v>39</v>
      </c>
      <c r="B11" s="81" t="s">
        <v>40</v>
      </c>
      <c r="C11" s="82"/>
      <c r="D11" s="82"/>
      <c r="E11" s="82"/>
      <c r="F11" s="82"/>
      <c r="G11" s="82"/>
      <c r="H11" s="82"/>
      <c r="I11" s="83"/>
      <c r="J11" s="80">
        <v>1.0</v>
      </c>
      <c r="K11" s="84"/>
      <c r="L11" s="85" t="s">
        <v>41</v>
      </c>
      <c r="M11" s="85" t="s">
        <v>41</v>
      </c>
    </row>
    <row r="12" ht="12.75" customHeight="1">
      <c r="A12" s="86"/>
      <c r="B12" s="87"/>
      <c r="C12" s="88"/>
      <c r="D12" s="88"/>
      <c r="E12" s="88"/>
      <c r="F12" s="88"/>
      <c r="G12" s="88"/>
      <c r="H12" s="88"/>
      <c r="I12" s="89"/>
      <c r="J12" s="86"/>
      <c r="K12" s="90"/>
      <c r="L12" s="91"/>
      <c r="M12" s="92"/>
    </row>
    <row r="13" ht="12.75" customHeight="1">
      <c r="A13" s="86"/>
      <c r="B13" s="93"/>
      <c r="C13" s="93"/>
      <c r="D13" s="93"/>
      <c r="E13" s="93"/>
      <c r="F13" s="93"/>
      <c r="G13" s="93"/>
      <c r="H13" s="93"/>
      <c r="I13" s="93"/>
      <c r="J13" s="86"/>
      <c r="K13" s="90"/>
      <c r="L13" s="91"/>
      <c r="M13" s="92"/>
    </row>
    <row r="14" ht="12.75" customHeight="1">
      <c r="A14" s="86"/>
      <c r="B14" s="93"/>
      <c r="C14" s="93"/>
      <c r="D14" s="93"/>
      <c r="E14" s="93"/>
      <c r="F14" s="93"/>
      <c r="G14" s="93"/>
      <c r="H14" s="93"/>
      <c r="I14" s="93"/>
      <c r="J14" s="86"/>
      <c r="K14" s="90"/>
      <c r="L14" s="91"/>
      <c r="M14" s="92"/>
    </row>
    <row r="15" ht="12.75" customHeight="1">
      <c r="A15" s="86"/>
      <c r="B15" s="93"/>
      <c r="C15" s="93"/>
      <c r="D15" s="93"/>
      <c r="E15" s="93"/>
      <c r="F15" s="93"/>
      <c r="G15" s="93"/>
      <c r="H15" s="93"/>
      <c r="I15" s="93"/>
      <c r="J15" s="86"/>
      <c r="K15" s="90"/>
      <c r="L15" s="91"/>
      <c r="M15" s="92"/>
    </row>
    <row r="16" ht="12.75" customHeight="1">
      <c r="A16" s="86"/>
      <c r="B16" s="93"/>
      <c r="C16" s="93"/>
      <c r="D16" s="93"/>
      <c r="E16" s="93"/>
      <c r="F16" s="93"/>
      <c r="G16" s="93"/>
      <c r="H16" s="93"/>
      <c r="I16" s="93"/>
      <c r="J16" s="86"/>
      <c r="K16" s="90"/>
      <c r="L16" s="91"/>
      <c r="M16" s="92"/>
    </row>
    <row r="17" ht="12.75" customHeight="1">
      <c r="A17" s="86"/>
      <c r="B17" s="93"/>
      <c r="C17" s="93"/>
      <c r="D17" s="93"/>
      <c r="E17" s="93"/>
      <c r="F17" s="93"/>
      <c r="G17" s="93"/>
      <c r="H17" s="93"/>
      <c r="I17" s="93"/>
      <c r="J17" s="86"/>
      <c r="K17" s="90"/>
      <c r="L17" s="91"/>
      <c r="M17" s="92"/>
    </row>
    <row r="18" ht="12.75" customHeight="1">
      <c r="A18" s="86"/>
      <c r="B18" s="93"/>
      <c r="C18" s="93"/>
      <c r="D18" s="93"/>
      <c r="E18" s="93"/>
      <c r="F18" s="93"/>
      <c r="G18" s="93"/>
      <c r="H18" s="93"/>
      <c r="I18" s="93"/>
      <c r="J18" s="86"/>
      <c r="K18" s="90"/>
      <c r="L18" s="91"/>
      <c r="M18" s="92"/>
    </row>
    <row r="19" ht="12.75" customHeight="1">
      <c r="A19" s="86"/>
      <c r="B19" s="93"/>
      <c r="C19" s="93"/>
      <c r="D19" s="93"/>
      <c r="E19" s="93"/>
      <c r="F19" s="93"/>
      <c r="G19" s="93"/>
      <c r="H19" s="93"/>
      <c r="I19" s="93"/>
      <c r="J19" s="86"/>
      <c r="K19" s="90"/>
      <c r="L19" s="91"/>
      <c r="M19" s="92"/>
    </row>
    <row r="20" ht="12.75" customHeight="1">
      <c r="A20" s="86"/>
      <c r="B20" s="93"/>
      <c r="C20" s="93"/>
      <c r="D20" s="93"/>
      <c r="E20" s="93"/>
      <c r="F20" s="93"/>
      <c r="G20" s="93"/>
      <c r="H20" s="93"/>
      <c r="I20" s="93"/>
      <c r="J20" s="86"/>
      <c r="K20" s="90"/>
      <c r="L20" s="91"/>
      <c r="M20" s="92"/>
    </row>
    <row r="21" ht="12.75" customHeight="1">
      <c r="A21" s="86"/>
      <c r="B21" s="93"/>
      <c r="C21" s="93"/>
      <c r="D21" s="93"/>
      <c r="E21" s="93"/>
      <c r="F21" s="93"/>
      <c r="G21" s="93"/>
      <c r="H21" s="93"/>
      <c r="I21" s="93"/>
      <c r="J21" s="86"/>
      <c r="K21" s="90"/>
      <c r="L21" s="91"/>
      <c r="M21" s="92"/>
    </row>
    <row r="22" ht="12.75" customHeight="1">
      <c r="A22" s="86"/>
      <c r="B22" s="87"/>
      <c r="C22" s="88"/>
      <c r="D22" s="88"/>
      <c r="E22" s="88"/>
      <c r="F22" s="88"/>
      <c r="G22" s="88"/>
      <c r="H22" s="88"/>
      <c r="I22" s="89"/>
      <c r="J22" s="86"/>
      <c r="K22" s="90"/>
      <c r="L22" s="91"/>
      <c r="M22" s="92"/>
    </row>
    <row r="23" ht="12.75" customHeight="1">
      <c r="A23" s="86"/>
      <c r="B23" s="87"/>
      <c r="C23" s="88"/>
      <c r="D23" s="88"/>
      <c r="E23" s="88"/>
      <c r="F23" s="88"/>
      <c r="G23" s="88"/>
      <c r="H23" s="88"/>
      <c r="I23" s="89"/>
      <c r="J23" s="86"/>
      <c r="K23" s="90"/>
      <c r="L23" s="91"/>
      <c r="M23" s="92"/>
    </row>
    <row r="24" ht="12.75" customHeight="1">
      <c r="A24" s="94"/>
      <c r="B24" s="87"/>
      <c r="C24" s="88"/>
      <c r="D24" s="88"/>
      <c r="E24" s="88"/>
      <c r="F24" s="88"/>
      <c r="G24" s="88"/>
      <c r="H24" s="88"/>
      <c r="I24" s="89"/>
      <c r="J24" s="94"/>
      <c r="K24" s="94"/>
      <c r="L24" s="94"/>
      <c r="M24" s="92"/>
    </row>
    <row r="25" ht="12.75" customHeight="1">
      <c r="A25" s="94"/>
      <c r="B25" s="87"/>
      <c r="C25" s="88"/>
      <c r="D25" s="88"/>
      <c r="E25" s="88"/>
      <c r="F25" s="88"/>
      <c r="G25" s="88"/>
      <c r="H25" s="88"/>
      <c r="I25" s="89"/>
      <c r="J25" s="94"/>
      <c r="K25" s="94"/>
      <c r="L25" s="94"/>
      <c r="M25" s="92"/>
    </row>
    <row r="26" ht="12.75" customHeight="1">
      <c r="A26" s="94"/>
      <c r="B26" s="87"/>
      <c r="C26" s="88"/>
      <c r="D26" s="88"/>
      <c r="E26" s="88"/>
      <c r="F26" s="88"/>
      <c r="G26" s="88"/>
      <c r="H26" s="88"/>
      <c r="I26" s="89"/>
      <c r="J26" s="94"/>
      <c r="K26" s="94"/>
      <c r="L26" s="94"/>
      <c r="M26" s="92"/>
    </row>
    <row r="27" ht="12.75" customHeight="1">
      <c r="A27" s="95"/>
      <c r="B27" s="96"/>
      <c r="C27" s="97"/>
      <c r="D27" s="97"/>
      <c r="E27" s="97"/>
      <c r="F27" s="97"/>
      <c r="G27" s="97"/>
      <c r="H27" s="97"/>
      <c r="I27" s="71"/>
      <c r="J27" s="95"/>
      <c r="K27" s="95"/>
      <c r="L27" s="95"/>
      <c r="M27" s="98"/>
    </row>
    <row r="28" ht="12.75" customHeight="1">
      <c r="A28" s="99"/>
      <c r="B28" s="100"/>
      <c r="J28" s="99"/>
      <c r="K28" s="99"/>
      <c r="L28" s="101" t="s">
        <v>31</v>
      </c>
      <c r="M28" s="102">
        <v>148000.0</v>
      </c>
    </row>
    <row r="29" ht="12.75" customHeight="1">
      <c r="A29" s="99"/>
      <c r="B29" s="100"/>
      <c r="J29" s="99"/>
      <c r="K29" s="99"/>
      <c r="L29" s="101" t="s">
        <v>32</v>
      </c>
      <c r="M29" s="102">
        <f>+M28*19%</f>
        <v>28120</v>
      </c>
    </row>
    <row r="30" ht="12.75" customHeight="1">
      <c r="A30" s="99"/>
      <c r="B30" s="100"/>
      <c r="J30" s="99"/>
      <c r="K30" s="99"/>
      <c r="L30" s="101" t="s">
        <v>25</v>
      </c>
      <c r="M30" s="102">
        <f>+M29+M28</f>
        <v>176120</v>
      </c>
    </row>
    <row r="31" ht="12.75" customHeight="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</row>
    <row r="32" ht="12.75" customHeight="1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</row>
    <row r="33" ht="12.75" customHeight="1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</row>
    <row r="34" ht="12.75" customHeight="1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2">
    <mergeCell ref="A1:H1"/>
    <mergeCell ref="B2:H2"/>
    <mergeCell ref="A3:G3"/>
    <mergeCell ref="B4:J4"/>
    <mergeCell ref="L4:M4"/>
    <mergeCell ref="B5:J5"/>
    <mergeCell ref="K5:M5"/>
    <mergeCell ref="A6:D6"/>
    <mergeCell ref="E6:H6"/>
    <mergeCell ref="I6:J6"/>
    <mergeCell ref="K6:M7"/>
    <mergeCell ref="A7:D7"/>
    <mergeCell ref="E7:H7"/>
    <mergeCell ref="I7:J7"/>
    <mergeCell ref="A8:G8"/>
    <mergeCell ref="H8:J8"/>
    <mergeCell ref="K8:L8"/>
    <mergeCell ref="A9:G9"/>
    <mergeCell ref="H9:J9"/>
    <mergeCell ref="K9:L9"/>
    <mergeCell ref="B10:I10"/>
    <mergeCell ref="B27:I27"/>
    <mergeCell ref="B28:I28"/>
    <mergeCell ref="B29:I29"/>
    <mergeCell ref="B30:I30"/>
    <mergeCell ref="B11:I11"/>
    <mergeCell ref="B12:I12"/>
    <mergeCell ref="B22:I22"/>
    <mergeCell ref="B23:I23"/>
    <mergeCell ref="B24:I24"/>
    <mergeCell ref="B25:I25"/>
    <mergeCell ref="B26:I26"/>
  </mergeCells>
  <conditionalFormatting sqref="M12:M27">
    <cfRule type="cellIs" dxfId="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2019-02-09T20:05:29Z</dcterms:created>
  <dc:creator>Jaden</dc:creator>
</cp:coreProperties>
</file>